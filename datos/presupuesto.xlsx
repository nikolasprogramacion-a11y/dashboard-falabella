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elcorpbiz-my.sharepoint.com/personal/ladysanchez_belcorp_biz/Documents/Documentos/MARCA/"/>
    </mc:Choice>
  </mc:AlternateContent>
  <xr:revisionPtr revIDLastSave="1" documentId="8_{41879BA5-C388-48E4-B0BF-F5C92E9FC7FE}" xr6:coauthVersionLast="47" xr6:coauthVersionMax="47" xr10:uidLastSave="{D5BF4B80-0F86-4C89-8563-781B8A3A7E18}"/>
  <bookViews>
    <workbookView xWindow="-110" yWindow="-110" windowWidth="19420" windowHeight="11500" xr2:uid="{9DA2C117-0846-4900-B575-03355A2FC295}"/>
  </bookViews>
  <sheets>
    <sheet name="VENTAS PROYECTO" sheetId="1" r:id="rId1"/>
  </sheets>
  <definedNames>
    <definedName name="FESTIV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8" i="1" l="1"/>
  <c r="X8" i="1"/>
  <c r="W8" i="1"/>
  <c r="V8" i="1"/>
  <c r="U8" i="1"/>
  <c r="T8" i="1"/>
  <c r="S8" i="1"/>
  <c r="R8" i="1"/>
  <c r="Q8" i="1"/>
  <c r="P8" i="1"/>
  <c r="O8" i="1"/>
  <c r="N8" i="1"/>
  <c r="AA8" i="1" s="1"/>
  <c r="M8" i="1"/>
  <c r="L8" i="1"/>
  <c r="K8" i="1"/>
  <c r="J8" i="1"/>
  <c r="I8" i="1"/>
  <c r="H8" i="1"/>
  <c r="G8" i="1"/>
  <c r="F8" i="1"/>
  <c r="E8" i="1"/>
  <c r="D8" i="1"/>
  <c r="C8" i="1"/>
  <c r="AB7" i="1"/>
  <c r="AA7" i="1"/>
  <c r="Z7" i="1"/>
  <c r="C7" i="1"/>
  <c r="B7" i="1"/>
  <c r="B10" i="1" s="1"/>
  <c r="B8" i="1" s="1"/>
  <c r="Z8" i="1" s="1"/>
  <c r="AB8" i="1" s="1"/>
  <c r="AA6" i="1"/>
  <c r="Z6" i="1"/>
  <c r="AB6" i="1" s="1"/>
  <c r="AA5" i="1"/>
  <c r="Z5" i="1"/>
  <c r="AB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Practicante Mercadeo - Finart</author>
  </authors>
  <commentList>
    <comment ref="C5" authorId="0" shapeId="0" xr:uid="{CF1A2B00-FDCD-4D24-B71B-F66CF13D6782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Ecommerce - Falabella.com</t>
        </r>
      </text>
    </comment>
    <comment ref="D5" authorId="0" shapeId="0" xr:uid="{9964ED57-CA24-4BF2-8534-AAB77DF2D388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Ecommerce Falabella/PE - Tiendas Paris</t>
        </r>
      </text>
    </comment>
    <comment ref="E5" authorId="0" shapeId="0" xr:uid="{FF29F971-EE1A-4E4A-8E77-F6AAEE187289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Ecommerce Walmart, Pepeganga, Liverpool, - Tiendas Florina y Ambardae</t>
        </r>
      </text>
    </comment>
    <comment ref="F5" authorId="0" shapeId="0" xr:uid="{85D2FBD2-704E-4CFE-B017-66E24A75165D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Falabella/CO - Pepeganga</t>
        </r>
      </text>
    </comment>
    <comment ref="G5" authorId="0" shapeId="0" xr:uid="{30D8CAF6-E17E-48DE-BF34-C51552781E2D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Paris - Falabella/PE</t>
        </r>
      </text>
    </comment>
    <comment ref="H5" authorId="0" shapeId="0" xr:uid="{B2173473-7700-4C06-A6E4-99AEF258AAEA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Ripley/CL -Liverpool</t>
        </r>
      </text>
    </comment>
    <comment ref="I5" authorId="0" shapeId="0" xr:uid="{9B0A8AE4-290B-4985-ABAC-BA6055242D07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Bijou Chile</t>
        </r>
      </text>
    </comment>
    <comment ref="K5" authorId="0" shapeId="0" xr:uid="{45EEE2BB-A0D5-4352-9715-D84CCA342AA9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Falabella/CO - Pepeganga - Falabella/PE</t>
        </r>
      </text>
    </comment>
    <comment ref="L5" authorId="0" shapeId="0" xr:uid="{1C429412-E095-4AB3-A2A3-4A0D3FFE6E61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Paris - Ripley/CL - Liverpool</t>
        </r>
      </text>
    </comment>
    <comment ref="M5" authorId="0" shapeId="0" xr:uid="{19600623-7077-4706-90BD-DAE7147E4D14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Pepeganga/CO</t>
        </r>
      </text>
    </comment>
    <comment ref="N5" authorId="0" shapeId="0" xr:uid="{72608F38-92A3-4F41-985E-C8D75A324B6D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Bijou Chile</t>
        </r>
      </text>
    </comment>
    <comment ref="O5" authorId="0" shapeId="0" xr:uid="{A9EADE45-C4A6-48E0-96F9-A7FF3290242D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Falabella/PE</t>
        </r>
      </text>
    </comment>
    <comment ref="P5" authorId="0" shapeId="0" xr:uid="{375ED4E9-7F3A-4171-BF72-E2F2FFF9DA65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Falabella/CO - Pepeganga - Ripley/CL - Liverpool</t>
        </r>
      </text>
    </comment>
    <comment ref="R5" authorId="0" shapeId="0" xr:uid="{695142CF-56D3-494F-9374-FC3721A1BD14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Oeschle</t>
        </r>
      </text>
    </comment>
    <comment ref="S5" authorId="0" shapeId="0" xr:uid="{7A132B20-D99C-4C05-A160-992CC0633B57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Falabella/PE o Ripley/PE</t>
        </r>
      </text>
    </comment>
    <comment ref="T5" authorId="0" shapeId="0" xr:uid="{BB04A9DE-62F4-48EF-8CC4-2751F72C9C02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Sears </t>
        </r>
      </text>
    </comment>
    <comment ref="U5" authorId="0" shapeId="0" xr:uid="{3F8C8624-FBA6-41D7-9871-9A477A61321E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Oeschle</t>
        </r>
      </text>
    </comment>
    <comment ref="V5" authorId="0" shapeId="0" xr:uid="{E13966CA-DC83-44BE-9BC7-3355503F32F6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Falabella/PE o Ripley/PE</t>
        </r>
      </text>
    </comment>
    <comment ref="W5" authorId="0" shapeId="0" xr:uid="{69BC67AD-8048-4FA7-856F-8451373D6BCD}">
      <text>
        <r>
          <rPr>
            <b/>
            <sz val="9"/>
            <color indexed="81"/>
            <rFont val="Tahoma"/>
            <family val="2"/>
          </rPr>
          <t>Practicante Mercadeo - Finart:</t>
        </r>
        <r>
          <rPr>
            <sz val="9"/>
            <color indexed="81"/>
            <rFont val="Tahoma"/>
            <family val="2"/>
          </rPr>
          <t xml:space="preserve">
Tiendas Sears</t>
        </r>
      </text>
    </comment>
  </commentList>
</comments>
</file>

<file path=xl/sharedStrings.xml><?xml version="1.0" encoding="utf-8"?>
<sst xmlns="http://schemas.openxmlformats.org/spreadsheetml/2006/main" count="109" uniqueCount="73">
  <si>
    <t>Q4</t>
  </si>
  <si>
    <t>Q1</t>
  </si>
  <si>
    <t>Q2</t>
  </si>
  <si>
    <t>Q3</t>
  </si>
  <si>
    <t>TOTAL</t>
  </si>
  <si>
    <t>Concepto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</si>
  <si>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</si>
  <si>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</si>
  <si>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</si>
  <si>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</si>
  <si>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</si>
  <si>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</si>
  <si>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</si>
  <si>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</si>
  <si>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</si>
  <si>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</si>
  <si>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</si>
  <si>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</si>
  <si>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</si>
  <si>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</si>
  <si>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</si>
  <si>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</si>
  <si>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</si>
  <si>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</si>
  <si>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</si>
  <si>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</si>
  <si>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</si>
  <si>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</si>
  <si>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</si>
  <si>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</si>
  <si>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Año 1</t>
  </si>
  <si>
    <t>Año 2</t>
  </si>
  <si>
    <t>Total Proyecto</t>
  </si>
  <si>
    <t>APERTURAS</t>
  </si>
  <si>
    <t>COLOMBIA</t>
  </si>
  <si>
    <t>CHILE</t>
  </si>
  <si>
    <t>MÉXICO / PERÚ</t>
  </si>
  <si>
    <t>MISMAS</t>
  </si>
  <si>
    <t>REGIONAL</t>
  </si>
  <si>
    <t>MX</t>
  </si>
  <si>
    <t>MANTENER</t>
  </si>
  <si>
    <t>Periodo (calendario)</t>
  </si>
  <si>
    <t>sep-26</t>
  </si>
  <si>
    <t>oct-26</t>
  </si>
  <si>
    <t>nov-26</t>
  </si>
  <si>
    <t>dic-26</t>
  </si>
  <si>
    <t>ene-27</t>
  </si>
  <si>
    <t>feb-27</t>
  </si>
  <si>
    <t>mar-27</t>
  </si>
  <si>
    <t>abr-27</t>
  </si>
  <si>
    <t>may-27</t>
  </si>
  <si>
    <t>jun-27</t>
  </si>
  <si>
    <t>jul-27</t>
  </si>
  <si>
    <t>ago-27</t>
  </si>
  <si>
    <t>sep-27</t>
  </si>
  <si>
    <t>oct-27</t>
  </si>
  <si>
    <t>nov-27</t>
  </si>
  <si>
    <t>dic-27</t>
  </si>
  <si>
    <t>ene-28</t>
  </si>
  <si>
    <t>feb-28</t>
  </si>
  <si>
    <t>mar-28</t>
  </si>
  <si>
    <t>abr-28</t>
  </si>
  <si>
    <t>may-28</t>
  </si>
  <si>
    <t>jun-28</t>
  </si>
  <si>
    <t>jul-28</t>
  </si>
  <si>
    <t>ago-28</t>
  </si>
  <si>
    <t>Aperturas nuevas (puntos/mes)</t>
  </si>
  <si>
    <t>Aperturas físicas (base tótems)</t>
  </si>
  <si>
    <t>Puntos activos (acumulado)</t>
  </si>
  <si>
    <t>Gastos logísticos</t>
  </si>
  <si>
    <t>OPERACIÓN</t>
  </si>
  <si>
    <t>Unidades vendidas</t>
  </si>
  <si>
    <t>Ingresos netos / Venta Mayorista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</si>
</sst>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\-"/>
    <numFmt numFmtId="165" formatCode="\$#,##0;&quot;($&quot;#,##0\);\-"/>
  </numFmts>
  <fonts count="11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color rgb="FF1B365D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FFF00"/>
        <bgColor rgb="FF333333"/>
      </patternFill>
    </fill>
    <fill>
      <patternFill patternType="solid">
        <fgColor theme="5" tint="0.59999389629810485"/>
        <bgColor rgb="FF333333"/>
      </patternFill>
    </fill>
    <fill>
      <patternFill patternType="solid">
        <fgColor theme="7" tint="0.59999389629810485"/>
        <bgColor rgb="FF333333"/>
      </patternFill>
    </fill>
    <fill>
      <patternFill patternType="solid">
        <fgColor theme="8" tint="0.59999389629810485"/>
        <bgColor rgb="FF333333"/>
      </patternFill>
    </fill>
    <fill>
      <patternFill patternType="solid">
        <fgColor theme="9" tint="0.59999389629810485"/>
        <bgColor rgb="FF333333"/>
      </patternFill>
    </fill>
    <fill>
      <patternFill patternType="solid">
        <fgColor theme="3" tint="0.59999389629810485"/>
        <bgColor rgb="FF333333"/>
      </patternFill>
    </fill>
    <fill>
      <patternFill patternType="solid">
        <fgColor theme="5" tint="0.39997558519241921"/>
        <bgColor rgb="FF333333"/>
      </patternFill>
    </fill>
    <fill>
      <patternFill patternType="solid">
        <fgColor theme="7" tint="0.39997558519241921"/>
        <bgColor rgb="FF333333"/>
      </patternFill>
    </fill>
    <fill>
      <patternFill patternType="solid">
        <fgColor rgb="FFDCE3EE"/>
        <bgColor rgb="FFEBEEF2"/>
      </patternFill>
    </fill>
    <fill>
      <patternFill patternType="solid">
        <fgColor theme="5" tint="0.39997558519241921"/>
        <bgColor rgb="FFEBEEF2"/>
      </patternFill>
    </fill>
    <fill>
      <patternFill patternType="solid">
        <fgColor theme="7" tint="0.39997558519241921"/>
        <bgColor rgb="FFEBEE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CDD6"/>
      </bottom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0" fillId="14" borderId="0" xfId="0" applyFill="1"/>
    <xf numFmtId="0" fontId="0" fillId="15" borderId="0" xfId="0" applyFill="1"/>
    <xf numFmtId="0" fontId="6" fillId="0" borderId="0" xfId="0" applyFont="1" applyAlignment="1">
      <alignment horizontal="left" vertical="center"/>
    </xf>
    <xf numFmtId="3" fontId="5" fillId="0" borderId="2" xfId="0" applyNumberFormat="1" applyFont="1" applyBorder="1" applyAlignment="1">
      <alignment horizontal="center" vertical="center"/>
    </xf>
    <xf numFmtId="164" fontId="6" fillId="14" borderId="2" xfId="0" applyNumberFormat="1" applyFont="1" applyFill="1" applyBorder="1"/>
    <xf numFmtId="164" fontId="6" fillId="15" borderId="2" xfId="0" applyNumberFormat="1" applyFont="1" applyFill="1" applyBorder="1"/>
    <xf numFmtId="164" fontId="7" fillId="0" borderId="2" xfId="0" applyNumberFormat="1" applyFont="1" applyBorder="1"/>
    <xf numFmtId="0" fontId="7" fillId="0" borderId="0" xfId="0" applyFont="1" applyAlignment="1">
      <alignment horizontal="left" vertical="center"/>
    </xf>
    <xf numFmtId="3" fontId="7" fillId="0" borderId="2" xfId="0" applyNumberFormat="1" applyFont="1" applyBorder="1" applyAlignment="1">
      <alignment horizontal="center" vertical="center"/>
    </xf>
    <xf numFmtId="3" fontId="6" fillId="14" borderId="2" xfId="0" applyNumberFormat="1" applyFont="1" applyFill="1" applyBorder="1"/>
    <xf numFmtId="3" fontId="6" fillId="15" borderId="2" xfId="0" applyNumberFormat="1" applyFont="1" applyFill="1" applyBorder="1"/>
    <xf numFmtId="3" fontId="7" fillId="0" borderId="2" xfId="0" applyNumberFormat="1" applyFont="1" applyBorder="1"/>
    <xf numFmtId="165" fontId="5" fillId="0" borderId="2" xfId="0" applyNumberFormat="1" applyFont="1" applyBorder="1"/>
    <xf numFmtId="165" fontId="5" fillId="14" borderId="2" xfId="0" applyNumberFormat="1" applyFont="1" applyFill="1" applyBorder="1"/>
    <xf numFmtId="165" fontId="5" fillId="15" borderId="2" xfId="0" applyNumberFormat="1" applyFont="1" applyFill="1" applyBorder="1"/>
    <xf numFmtId="165" fontId="8" fillId="0" borderId="2" xfId="0" applyNumberFormat="1" applyFont="1" applyBorder="1"/>
    <xf numFmtId="0" fontId="3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164" fontId="6" fillId="0" borderId="2" xfId="0" applyNumberFormat="1" applyFont="1" applyBorder="1"/>
    <xf numFmtId="165" fontId="7" fillId="0" borderId="2" xfId="0" applyNumberFormat="1" applyFont="1" applyBorder="1"/>
    <xf numFmtId="165" fontId="7" fillId="14" borderId="2" xfId="0" applyNumberFormat="1" applyFont="1" applyFill="1" applyBorder="1"/>
    <xf numFmtId="165" fontId="7" fillId="15" borderId="2" xfId="0" applyNumberFormat="1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DCBB-3CAC-45D8-ADD0-7F62CFCD2868}">
  <dimension ref="A1:AB11"/>
  <sheetViews>
    <sheetView tabSelected="1" topLeftCell="L1" zoomScale="80" zoomScaleNormal="80" workbookViewId="0">
      <selection activeCell="Z12" sqref="Z12"/>
    </sheetView>
  </sheetViews>
  <sheetFormatPr baseColWidth="10" defaultRowHeight="14.5" x14ac:dyDescent="0.35"/>
  <cols>
    <col min="1" max="1" width="28.90625" bestFit="1" customWidth="1"/>
    <col min="2" max="6" width="12" customWidth="1"/>
    <col min="7" max="7" width="14.54296875" bestFit="1" customWidth="1"/>
    <col min="8" max="25" width="12" customWidth="1"/>
    <col min="26" max="27" width="10.36328125" bestFit="1" customWidth="1"/>
    <col min="28" max="28" width="13.54296875" bestFit="1" customWidth="1"/>
  </cols>
  <sheetData>
    <row r="1" spans="1:28" x14ac:dyDescent="0.35">
      <c r="A1" s="1"/>
      <c r="B1" s="38" t="s">
        <v>0</v>
      </c>
      <c r="C1" s="38"/>
      <c r="D1" s="38"/>
      <c r="E1" s="38"/>
      <c r="F1" s="39" t="s">
        <v>1</v>
      </c>
      <c r="G1" s="39"/>
      <c r="H1" s="39"/>
      <c r="I1" s="35" t="s">
        <v>2</v>
      </c>
      <c r="J1" s="35"/>
      <c r="K1" s="35"/>
      <c r="L1" s="36" t="s">
        <v>3</v>
      </c>
      <c r="M1" s="36"/>
      <c r="N1" s="36"/>
      <c r="O1" s="40" t="s">
        <v>0</v>
      </c>
      <c r="P1" s="40"/>
      <c r="Q1" s="40"/>
      <c r="R1" s="41" t="s">
        <v>1</v>
      </c>
      <c r="S1" s="41"/>
      <c r="T1" s="41"/>
      <c r="U1" s="35" t="s">
        <v>2</v>
      </c>
      <c r="V1" s="35"/>
      <c r="W1" s="35"/>
      <c r="X1" s="36" t="s">
        <v>3</v>
      </c>
      <c r="Y1" s="36"/>
      <c r="Z1" s="37" t="s">
        <v>4</v>
      </c>
      <c r="AA1" s="37"/>
      <c r="AB1" s="1"/>
    </row>
    <row r="2" spans="1:28" x14ac:dyDescent="0.3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4" t="s">
        <v>30</v>
      </c>
      <c r="AA2" s="5" t="s">
        <v>31</v>
      </c>
      <c r="AB2" s="3" t="s">
        <v>32</v>
      </c>
    </row>
    <row r="3" spans="1:28" s="9" customFormat="1" x14ac:dyDescent="0.35">
      <c r="A3" s="6" t="s">
        <v>33</v>
      </c>
      <c r="B3" s="6"/>
      <c r="C3" s="6" t="s">
        <v>34</v>
      </c>
      <c r="D3" s="6" t="s">
        <v>35</v>
      </c>
      <c r="E3" s="6" t="s">
        <v>34</v>
      </c>
      <c r="F3" s="6" t="s">
        <v>34</v>
      </c>
      <c r="G3" s="6" t="s">
        <v>36</v>
      </c>
      <c r="H3" s="6" t="s">
        <v>37</v>
      </c>
      <c r="I3" s="6" t="s">
        <v>37</v>
      </c>
      <c r="J3" s="6" t="s">
        <v>38</v>
      </c>
      <c r="K3" s="6" t="s">
        <v>39</v>
      </c>
      <c r="L3" s="6" t="s">
        <v>40</v>
      </c>
      <c r="M3" s="6" t="s">
        <v>40</v>
      </c>
      <c r="N3" s="6" t="s">
        <v>40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  <c r="AA3" s="8"/>
      <c r="AB3" s="6"/>
    </row>
    <row r="4" spans="1:28" x14ac:dyDescent="0.35">
      <c r="A4" s="10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  <c r="H4" s="11" t="s">
        <v>48</v>
      </c>
      <c r="I4" s="11" t="s">
        <v>49</v>
      </c>
      <c r="J4" s="11" t="s">
        <v>50</v>
      </c>
      <c r="K4" s="11" t="s">
        <v>51</v>
      </c>
      <c r="L4" s="11" t="s">
        <v>52</v>
      </c>
      <c r="M4" s="11" t="s">
        <v>53</v>
      </c>
      <c r="N4" s="11" t="s">
        <v>54</v>
      </c>
      <c r="O4" s="11" t="s">
        <v>55</v>
      </c>
      <c r="P4" s="11" t="s">
        <v>56</v>
      </c>
      <c r="Q4" s="11" t="s">
        <v>57</v>
      </c>
      <c r="R4" s="11" t="s">
        <v>58</v>
      </c>
      <c r="S4" s="11" t="s">
        <v>59</v>
      </c>
      <c r="T4" s="11" t="s">
        <v>60</v>
      </c>
      <c r="U4" s="11" t="s">
        <v>61</v>
      </c>
      <c r="V4" s="11" t="s">
        <v>62</v>
      </c>
      <c r="W4" s="11" t="s">
        <v>63</v>
      </c>
      <c r="X4" s="11" t="s">
        <v>64</v>
      </c>
      <c r="Y4" s="11" t="s">
        <v>65</v>
      </c>
      <c r="Z4" s="12"/>
      <c r="AA4" s="13"/>
    </row>
    <row r="5" spans="1:28" hidden="1" x14ac:dyDescent="0.35">
      <c r="A5" s="14" t="s">
        <v>66</v>
      </c>
      <c r="B5" s="15">
        <v>0</v>
      </c>
      <c r="C5" s="15">
        <v>1</v>
      </c>
      <c r="D5" s="15">
        <v>12</v>
      </c>
      <c r="E5" s="15">
        <v>5</v>
      </c>
      <c r="F5" s="15">
        <v>9</v>
      </c>
      <c r="G5" s="15">
        <v>12</v>
      </c>
      <c r="H5" s="15">
        <v>16</v>
      </c>
      <c r="I5" s="15">
        <v>17</v>
      </c>
      <c r="J5" s="15">
        <v>0</v>
      </c>
      <c r="K5" s="15">
        <v>8</v>
      </c>
      <c r="L5" s="15">
        <v>14</v>
      </c>
      <c r="M5" s="15">
        <v>14</v>
      </c>
      <c r="N5" s="15">
        <v>17</v>
      </c>
      <c r="O5" s="15">
        <v>2</v>
      </c>
      <c r="P5" s="15">
        <v>10</v>
      </c>
      <c r="Q5" s="15">
        <v>0</v>
      </c>
      <c r="R5" s="15">
        <v>7</v>
      </c>
      <c r="S5" s="15">
        <v>5</v>
      </c>
      <c r="T5" s="15">
        <v>17</v>
      </c>
      <c r="U5" s="15">
        <v>7</v>
      </c>
      <c r="V5" s="15">
        <v>5</v>
      </c>
      <c r="W5" s="15">
        <v>17</v>
      </c>
      <c r="X5" s="15">
        <v>0</v>
      </c>
      <c r="Y5" s="15">
        <v>0</v>
      </c>
      <c r="Z5" s="16">
        <f>SUM(B5:M5)</f>
        <v>108</v>
      </c>
      <c r="AA5" s="17">
        <f>SUM(N5:Y5)</f>
        <v>87</v>
      </c>
      <c r="AB5" s="18">
        <f>Z5+AA5</f>
        <v>195</v>
      </c>
    </row>
    <row r="6" spans="1:28" hidden="1" x14ac:dyDescent="0.35">
      <c r="A6" s="14" t="s">
        <v>67</v>
      </c>
      <c r="B6" s="15">
        <v>0</v>
      </c>
      <c r="C6" s="15">
        <v>0</v>
      </c>
      <c r="D6" s="15">
        <v>11</v>
      </c>
      <c r="E6" s="15">
        <v>0</v>
      </c>
      <c r="F6" s="15">
        <v>9</v>
      </c>
      <c r="G6" s="15">
        <v>12</v>
      </c>
      <c r="H6" s="15">
        <v>16</v>
      </c>
      <c r="I6" s="15">
        <v>0</v>
      </c>
      <c r="J6" s="15">
        <v>0</v>
      </c>
      <c r="K6" s="15">
        <v>8</v>
      </c>
      <c r="L6" s="15">
        <v>14</v>
      </c>
      <c r="M6" s="15">
        <v>14</v>
      </c>
      <c r="N6" s="15">
        <v>0</v>
      </c>
      <c r="O6" s="15">
        <v>2</v>
      </c>
      <c r="P6" s="15">
        <v>10</v>
      </c>
      <c r="Q6" s="15">
        <v>0</v>
      </c>
      <c r="R6" s="15">
        <v>7</v>
      </c>
      <c r="S6" s="15">
        <v>5</v>
      </c>
      <c r="T6" s="15">
        <v>17</v>
      </c>
      <c r="U6" s="15">
        <v>7</v>
      </c>
      <c r="V6" s="15">
        <v>5</v>
      </c>
      <c r="W6" s="15">
        <v>17</v>
      </c>
      <c r="X6" s="15">
        <v>0</v>
      </c>
      <c r="Y6" s="15">
        <v>0</v>
      </c>
      <c r="Z6" s="16">
        <f>SUM(B6:M6)</f>
        <v>84</v>
      </c>
      <c r="AA6" s="17">
        <f>SUM(N6:Y6)</f>
        <v>70</v>
      </c>
      <c r="AB6" s="18">
        <f>Z6+AA6</f>
        <v>154</v>
      </c>
    </row>
    <row r="7" spans="1:28" hidden="1" x14ac:dyDescent="0.35">
      <c r="A7" s="19" t="s">
        <v>68</v>
      </c>
      <c r="B7" s="20">
        <f>B5</f>
        <v>0</v>
      </c>
      <c r="C7" s="20">
        <f t="shared" ref="C7" si="0">B7+C5</f>
        <v>1</v>
      </c>
      <c r="D7" s="20">
        <v>30</v>
      </c>
      <c r="E7" s="20">
        <v>88</v>
      </c>
      <c r="F7" s="20">
        <v>88</v>
      </c>
      <c r="G7" s="20">
        <v>129</v>
      </c>
      <c r="H7" s="20">
        <v>129</v>
      </c>
      <c r="I7" s="20">
        <v>129</v>
      </c>
      <c r="J7" s="20">
        <v>239</v>
      </c>
      <c r="K7" s="20">
        <v>239</v>
      </c>
      <c r="L7" s="20">
        <v>239</v>
      </c>
      <c r="M7" s="20">
        <v>239</v>
      </c>
      <c r="N7" s="20">
        <v>239</v>
      </c>
      <c r="O7" s="20">
        <v>239</v>
      </c>
      <c r="P7" s="20">
        <v>239</v>
      </c>
      <c r="Q7" s="20">
        <v>239</v>
      </c>
      <c r="R7" s="20">
        <v>239</v>
      </c>
      <c r="S7" s="20">
        <v>239</v>
      </c>
      <c r="T7" s="20">
        <v>239</v>
      </c>
      <c r="U7" s="20">
        <v>239</v>
      </c>
      <c r="V7" s="20">
        <v>239</v>
      </c>
      <c r="W7" s="20">
        <v>239</v>
      </c>
      <c r="X7" s="20">
        <v>239</v>
      </c>
      <c r="Y7" s="20">
        <v>239</v>
      </c>
      <c r="Z7" s="21">
        <f>M7</f>
        <v>239</v>
      </c>
      <c r="AA7" s="22">
        <f>Y7</f>
        <v>239</v>
      </c>
      <c r="AB7" s="23">
        <f>Y7</f>
        <v>239</v>
      </c>
    </row>
    <row r="8" spans="1:28" hidden="1" x14ac:dyDescent="0.35">
      <c r="A8" s="10" t="s">
        <v>69</v>
      </c>
      <c r="B8" s="24">
        <f t="shared" ref="B8:Y8" si="1">B10*$B$68</f>
        <v>0</v>
      </c>
      <c r="C8" s="24">
        <f t="shared" si="1"/>
        <v>0</v>
      </c>
      <c r="D8" s="24">
        <f t="shared" si="1"/>
        <v>0</v>
      </c>
      <c r="E8" s="24">
        <f t="shared" si="1"/>
        <v>0</v>
      </c>
      <c r="F8" s="24">
        <f t="shared" si="1"/>
        <v>0</v>
      </c>
      <c r="G8" s="24">
        <f t="shared" si="1"/>
        <v>0</v>
      </c>
      <c r="H8" s="24">
        <f t="shared" si="1"/>
        <v>0</v>
      </c>
      <c r="I8" s="24">
        <f t="shared" si="1"/>
        <v>0</v>
      </c>
      <c r="J8" s="24">
        <f t="shared" si="1"/>
        <v>0</v>
      </c>
      <c r="K8" s="24">
        <f t="shared" si="1"/>
        <v>0</v>
      </c>
      <c r="L8" s="24">
        <f t="shared" si="1"/>
        <v>0</v>
      </c>
      <c r="M8" s="24">
        <f t="shared" si="1"/>
        <v>0</v>
      </c>
      <c r="N8" s="24">
        <f t="shared" si="1"/>
        <v>0</v>
      </c>
      <c r="O8" s="24">
        <f t="shared" si="1"/>
        <v>0</v>
      </c>
      <c r="P8" s="24">
        <f t="shared" si="1"/>
        <v>0</v>
      </c>
      <c r="Q8" s="24">
        <f t="shared" si="1"/>
        <v>0</v>
      </c>
      <c r="R8" s="24">
        <f t="shared" si="1"/>
        <v>0</v>
      </c>
      <c r="S8" s="24">
        <f t="shared" si="1"/>
        <v>0</v>
      </c>
      <c r="T8" s="24">
        <f t="shared" si="1"/>
        <v>0</v>
      </c>
      <c r="U8" s="24">
        <f t="shared" si="1"/>
        <v>0</v>
      </c>
      <c r="V8" s="24">
        <f t="shared" si="1"/>
        <v>0</v>
      </c>
      <c r="W8" s="24">
        <f t="shared" si="1"/>
        <v>0</v>
      </c>
      <c r="X8" s="24">
        <f t="shared" si="1"/>
        <v>0</v>
      </c>
      <c r="Y8" s="24">
        <f t="shared" si="1"/>
        <v>0</v>
      </c>
      <c r="Z8" s="25">
        <f>SUM(B8:M8)</f>
        <v>0</v>
      </c>
      <c r="AA8" s="26">
        <f>SUM(N8:Y8)</f>
        <v>0</v>
      </c>
      <c r="AB8" s="27">
        <f>Z8+AA8</f>
        <v>0</v>
      </c>
    </row>
    <row r="9" spans="1:28" hidden="1" x14ac:dyDescent="0.35">
      <c r="A9" s="28" t="s">
        <v>70</v>
      </c>
      <c r="B9" s="28" t="s">
        <v>6</v>
      </c>
      <c r="C9" s="28" t="s">
        <v>7</v>
      </c>
      <c r="D9" s="28" t="s">
        <v>8</v>
      </c>
      <c r="E9" s="28" t="s">
        <v>9</v>
      </c>
      <c r="F9" s="28" t="s">
        <v>10</v>
      </c>
      <c r="G9" s="28" t="s">
        <v>11</v>
      </c>
      <c r="H9" s="28" t="s">
        <v>12</v>
      </c>
      <c r="I9" s="28" t="s">
        <v>13</v>
      </c>
      <c r="J9" s="28" t="s">
        <v>14</v>
      </c>
      <c r="K9" s="28" t="s">
        <v>15</v>
      </c>
      <c r="L9" s="28" t="s">
        <v>16</v>
      </c>
      <c r="M9" s="28" t="s">
        <v>17</v>
      </c>
      <c r="N9" s="28" t="s">
        <v>18</v>
      </c>
      <c r="O9" s="28" t="s">
        <v>19</v>
      </c>
      <c r="P9" s="28" t="s">
        <v>20</v>
      </c>
      <c r="Q9" s="28" t="s">
        <v>21</v>
      </c>
      <c r="R9" s="28" t="s">
        <v>22</v>
      </c>
      <c r="S9" s="28" t="s">
        <v>23</v>
      </c>
      <c r="T9" s="28" t="s">
        <v>24</v>
      </c>
      <c r="U9" s="28" t="s">
        <v>25</v>
      </c>
      <c r="V9" s="28" t="s">
        <v>26</v>
      </c>
      <c r="W9" s="28" t="s">
        <v>27</v>
      </c>
      <c r="X9" s="28" t="s">
        <v>28</v>
      </c>
      <c r="Y9" s="28" t="s">
        <v>29</v>
      </c>
      <c r="Z9" s="29" t="s">
        <v>30</v>
      </c>
      <c r="AA9" s="30" t="s">
        <v>31</v>
      </c>
      <c r="AB9" s="28" t="s">
        <v>32</v>
      </c>
    </row>
    <row r="10" spans="1:28" x14ac:dyDescent="0.35">
      <c r="A10" s="14" t="s">
        <v>71</v>
      </c>
      <c r="B10" s="31">
        <f t="shared" ref="B10" si="2">B7*$B$4</f>
        <v>0</v>
      </c>
      <c r="C10" s="31">
        <v>150</v>
      </c>
      <c r="D10" s="31">
        <v>1950</v>
      </c>
      <c r="E10" s="31">
        <v>2700</v>
      </c>
      <c r="F10" s="31">
        <v>4050</v>
      </c>
      <c r="G10" s="31">
        <v>5850</v>
      </c>
      <c r="H10" s="31">
        <v>8250</v>
      </c>
      <c r="I10" s="31">
        <v>10800</v>
      </c>
      <c r="J10" s="31">
        <v>10800</v>
      </c>
      <c r="K10" s="31">
        <v>12000</v>
      </c>
      <c r="L10" s="31">
        <v>14100</v>
      </c>
      <c r="M10" s="31">
        <v>16200</v>
      </c>
      <c r="N10" s="31">
        <v>18750</v>
      </c>
      <c r="O10" s="31">
        <v>19050</v>
      </c>
      <c r="P10" s="31">
        <v>20550</v>
      </c>
      <c r="Q10" s="31">
        <v>20550</v>
      </c>
      <c r="R10" s="31">
        <v>21600</v>
      </c>
      <c r="S10" s="31">
        <v>22350</v>
      </c>
      <c r="T10" s="31">
        <v>24900</v>
      </c>
      <c r="U10" s="31">
        <v>25950</v>
      </c>
      <c r="V10" s="31">
        <v>26700</v>
      </c>
      <c r="W10" s="31">
        <v>29250</v>
      </c>
      <c r="X10" s="31">
        <v>29250</v>
      </c>
      <c r="Y10" s="31">
        <v>29250</v>
      </c>
      <c r="Z10" s="16">
        <v>86850</v>
      </c>
      <c r="AA10" s="17">
        <v>288150</v>
      </c>
      <c r="AB10" s="18">
        <v>375000</v>
      </c>
    </row>
    <row r="11" spans="1:28" x14ac:dyDescent="0.35">
      <c r="A11" s="19" t="s">
        <v>72</v>
      </c>
      <c r="B11" s="32">
        <v>0</v>
      </c>
      <c r="C11" s="32">
        <v>2492.3076923076919</v>
      </c>
      <c r="D11" s="32">
        <v>32400</v>
      </c>
      <c r="E11" s="32">
        <v>44861.538461538461</v>
      </c>
      <c r="F11" s="32">
        <v>67292.307692307688</v>
      </c>
      <c r="G11" s="32">
        <v>97200</v>
      </c>
      <c r="H11" s="32">
        <v>137076.92307692306</v>
      </c>
      <c r="I11" s="32">
        <v>179446.15384615384</v>
      </c>
      <c r="J11" s="32">
        <v>179446.15384615384</v>
      </c>
      <c r="K11" s="32">
        <v>199384.61538461538</v>
      </c>
      <c r="L11" s="32">
        <v>234276.92307692306</v>
      </c>
      <c r="M11" s="32">
        <v>269169.23076923075</v>
      </c>
      <c r="N11" s="32">
        <v>311538.4615384615</v>
      </c>
      <c r="O11" s="32">
        <v>316523.07692307688</v>
      </c>
      <c r="P11" s="32">
        <v>341446.15384615381</v>
      </c>
      <c r="Q11" s="32">
        <v>341446.15384615381</v>
      </c>
      <c r="R11" s="32">
        <v>358892.30769230769</v>
      </c>
      <c r="S11" s="32">
        <v>371353.84615384613</v>
      </c>
      <c r="T11" s="32">
        <v>413723.07692307688</v>
      </c>
      <c r="U11" s="32">
        <v>431169.23076923075</v>
      </c>
      <c r="V11" s="32">
        <v>443630.76923076919</v>
      </c>
      <c r="W11" s="32">
        <v>486000</v>
      </c>
      <c r="X11" s="32">
        <v>486000</v>
      </c>
      <c r="Y11" s="32">
        <v>486000</v>
      </c>
      <c r="Z11" s="33">
        <v>1500000</v>
      </c>
      <c r="AA11" s="34">
        <v>4787723.076923077</v>
      </c>
      <c r="AB11" s="32">
        <v>6230769.230769231</v>
      </c>
    </row>
  </sheetData>
  <mergeCells count="9">
    <mergeCell ref="U1:W1"/>
    <mergeCell ref="X1:Y1"/>
    <mergeCell ref="Z1:AA1"/>
    <mergeCell ref="B1:E1"/>
    <mergeCell ref="F1:H1"/>
    <mergeCell ref="I1:K1"/>
    <mergeCell ref="L1:N1"/>
    <mergeCell ref="O1:Q1"/>
    <mergeCell ref="R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CONTRERAS LADY STEPHANIE</dc:creator>
  <cp:lastModifiedBy>SANCHEZ CONTRERAS LADY STEPHANIE</cp:lastModifiedBy>
  <dcterms:created xsi:type="dcterms:W3CDTF">2026-10-05T19:16:30Z</dcterms:created>
  <dcterms:modified xsi:type="dcterms:W3CDTF">2026-10-07T17:43:05Z</dcterms:modified>
</cp:coreProperties>
</file>